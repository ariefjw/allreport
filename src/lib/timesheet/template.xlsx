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L1 Data Engineer SMBC\Timesheet\"/>
    </mc:Choice>
  </mc:AlternateContent>
  <xr:revisionPtr revIDLastSave="0" documentId="13_ncr:1_{F5CDA00C-AC7A-46BE-AE88-CA730A59717D}" xr6:coauthVersionLast="47" xr6:coauthVersionMax="47" xr10:uidLastSave="{00000000-0000-0000-0000-000000000000}"/>
  <bookViews>
    <workbookView xWindow="-98" yWindow="-98" windowWidth="21795" windowHeight="12975" tabRatio="500" xr2:uid="{00000000-000D-0000-FFFF-FFFF00000000}"/>
  </bookViews>
  <sheets>
    <sheet name="Table 1" sheetId="1" r:id="rId1"/>
  </sheets>
  <calcPr calcId="181029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F5" i="1" l="1"/>
  <c r="J13" i="1"/>
  <c r="J14" i="1"/>
  <c r="J15" i="1"/>
  <c r="J16" i="1"/>
  <c r="J17" i="1"/>
  <c r="J18" i="1"/>
  <c r="J19" i="1"/>
  <c r="L19" i="1" s="1"/>
  <c r="J20" i="1"/>
  <c r="L20" i="1" s="1"/>
  <c r="J21" i="1"/>
  <c r="J22" i="1"/>
  <c r="K22" i="1" s="1"/>
  <c r="J23" i="1"/>
  <c r="K23" i="1" s="1"/>
  <c r="J24" i="1"/>
  <c r="K24" i="1" s="1"/>
  <c r="J25" i="1"/>
  <c r="K25" i="1" s="1"/>
  <c r="J26" i="1"/>
  <c r="K26" i="1" s="1"/>
  <c r="J27" i="1"/>
  <c r="K27" i="1" s="1"/>
  <c r="J28" i="1"/>
  <c r="K28" i="1" s="1"/>
  <c r="J29" i="1"/>
  <c r="K29" i="1" s="1"/>
  <c r="J30" i="1"/>
  <c r="K30" i="1" s="1"/>
  <c r="J31" i="1"/>
  <c r="K31" i="1" s="1"/>
  <c r="J32" i="1"/>
  <c r="K32" i="1" s="1"/>
  <c r="J33" i="1"/>
  <c r="J34" i="1"/>
  <c r="J35" i="1"/>
  <c r="J36" i="1"/>
  <c r="J37" i="1"/>
  <c r="J38" i="1"/>
  <c r="J39" i="1"/>
  <c r="J40" i="1"/>
  <c r="L40" i="1" s="1"/>
  <c r="J41" i="1"/>
  <c r="L41" i="1" s="1"/>
  <c r="J42" i="1"/>
  <c r="K42" i="1" s="1"/>
  <c r="J12" i="1"/>
  <c r="K13" i="1"/>
  <c r="K14" i="1"/>
  <c r="K15" i="1"/>
  <c r="K16" i="1"/>
  <c r="K17" i="1"/>
  <c r="K18" i="1"/>
  <c r="K19" i="1"/>
  <c r="K20" i="1"/>
  <c r="K21" i="1"/>
  <c r="K33" i="1"/>
  <c r="K34" i="1"/>
  <c r="K35" i="1"/>
  <c r="K36" i="1"/>
  <c r="K37" i="1"/>
  <c r="K38" i="1"/>
  <c r="K39" i="1"/>
  <c r="K40" i="1"/>
  <c r="K41" i="1"/>
  <c r="I42" i="1"/>
  <c r="I39" i="1"/>
  <c r="I38" i="1"/>
  <c r="I37" i="1"/>
  <c r="L37" i="1" s="1"/>
  <c r="I36" i="1"/>
  <c r="I35" i="1"/>
  <c r="I34" i="1"/>
  <c r="E34" i="1" s="1"/>
  <c r="E33" i="1"/>
  <c r="E32" i="1"/>
  <c r="I31" i="1"/>
  <c r="E31" i="1" s="1"/>
  <c r="I30" i="1"/>
  <c r="I29" i="1"/>
  <c r="E29" i="1" s="1"/>
  <c r="I28" i="1"/>
  <c r="E28" i="1" s="1"/>
  <c r="I27" i="1"/>
  <c r="L27" i="1" s="1"/>
  <c r="I26" i="1"/>
  <c r="E26" i="1" s="1"/>
  <c r="E25" i="1"/>
  <c r="E24" i="1"/>
  <c r="I23" i="1"/>
  <c r="L23" i="1" s="1"/>
  <c r="I22" i="1"/>
  <c r="I21" i="1"/>
  <c r="I20" i="1"/>
  <c r="I19" i="1"/>
  <c r="I18" i="1"/>
  <c r="L16" i="1"/>
  <c r="I15" i="1"/>
  <c r="L15" i="1" s="1"/>
  <c r="I14" i="1"/>
  <c r="L14" i="1" s="1"/>
  <c r="I13" i="1"/>
  <c r="I12" i="1"/>
  <c r="E19" i="1"/>
  <c r="E20" i="1"/>
  <c r="E30" i="1"/>
  <c r="E35" i="1"/>
  <c r="L36" i="1"/>
  <c r="L42" i="1"/>
  <c r="E38" i="1"/>
  <c r="E39" i="1"/>
  <c r="E40" i="1"/>
  <c r="E41" i="1"/>
  <c r="E13" i="1"/>
  <c r="E14" i="1"/>
  <c r="E15" i="1"/>
  <c r="E16" i="1"/>
  <c r="E17" i="1"/>
  <c r="E18" i="1"/>
  <c r="E21" i="1"/>
  <c r="E22" i="1"/>
  <c r="E12" i="1"/>
  <c r="F12" i="1"/>
  <c r="F13" i="1" s="1"/>
  <c r="F14" i="1" s="1"/>
  <c r="F15" i="1" s="1"/>
  <c r="F16" i="1" s="1"/>
  <c r="F17" i="1" s="1"/>
  <c r="F18" i="1" s="1"/>
  <c r="F19" i="1" s="1"/>
  <c r="F20" i="1" s="1"/>
  <c r="F21" i="1" s="1"/>
  <c r="F22" i="1" s="1"/>
  <c r="F23" i="1" s="1"/>
  <c r="F24" i="1" s="1"/>
  <c r="F25" i="1" s="1"/>
  <c r="F26" i="1" s="1"/>
  <c r="F27" i="1" s="1"/>
  <c r="F28" i="1" s="1"/>
  <c r="F29" i="1" s="1"/>
  <c r="F30" i="1" s="1"/>
  <c r="F31" i="1" s="1"/>
  <c r="F32" i="1" s="1"/>
  <c r="F33" i="1" s="1"/>
  <c r="F34" i="1" s="1"/>
  <c r="F35" i="1" s="1"/>
  <c r="F36" i="1" s="1"/>
  <c r="F37" i="1" s="1"/>
  <c r="F38" i="1" s="1"/>
  <c r="F39" i="1" s="1"/>
  <c r="F40" i="1" s="1"/>
  <c r="F41" i="1" s="1"/>
  <c r="F42" i="1" s="1"/>
  <c r="L21" i="1"/>
  <c r="L22" i="1"/>
  <c r="L33" i="1"/>
  <c r="L34" i="1"/>
  <c r="L35" i="1"/>
  <c r="L38" i="1"/>
  <c r="L39" i="1"/>
  <c r="L12" i="1"/>
  <c r="L17" i="1"/>
  <c r="L13" i="1"/>
  <c r="K12" i="1"/>
  <c r="L30" i="1" l="1"/>
  <c r="L28" i="1"/>
  <c r="L18" i="1"/>
  <c r="E27" i="1"/>
  <c r="L26" i="1"/>
  <c r="L32" i="1"/>
  <c r="L25" i="1"/>
  <c r="L31" i="1"/>
  <c r="L24" i="1"/>
  <c r="F6" i="1" s="1"/>
  <c r="L29" i="1"/>
  <c r="E23" i="1"/>
  <c r="E42" i="1"/>
  <c r="E37" i="1"/>
  <c r="E36" i="1"/>
</calcChain>
</file>

<file path=xl/sharedStrings.xml><?xml version="1.0" encoding="utf-8"?>
<sst xmlns="http://schemas.openxmlformats.org/spreadsheetml/2006/main" count="201" uniqueCount="37">
  <si>
    <t>PT Solusi Tiga Selaras (SOLUTIF)</t>
  </si>
  <si>
    <t>The Bellagio Mansion Kav E6-1</t>
  </si>
  <si>
    <r>
      <rPr>
        <b/>
        <sz val="10"/>
        <rFont val="Arial"/>
        <family val="2"/>
        <charset val="1"/>
      </rPr>
      <t>Jl. DR. Ide Anak Agung Gde Agung | Jakarta Selatan - 12950, Indonesia</t>
    </r>
    <r>
      <rPr>
        <b/>
        <sz val="10"/>
        <rFont val="Times New Roman"/>
        <family val="1"/>
        <charset val="1"/>
      </rPr>
      <t xml:space="preserve"> </t>
    </r>
    <r>
      <rPr>
        <b/>
        <sz val="10"/>
        <rFont val="Arial"/>
        <family val="2"/>
        <charset val="1"/>
      </rPr>
      <t>Telp. (+62-21) 28542998</t>
    </r>
  </si>
  <si>
    <t>TIME SHEET</t>
  </si>
  <si>
    <t>Name :                 Arief Joko Wicaksono</t>
  </si>
  <si>
    <t>Total Hours</t>
  </si>
  <si>
    <t>Position :              IT Support</t>
  </si>
  <si>
    <t>Total Overtime Hours</t>
  </si>
  <si>
    <t>Client :                 PT. Bank BTPN Tbk</t>
  </si>
  <si>
    <t>Project :               IT Big Data Operations</t>
  </si>
  <si>
    <t>Employee No</t>
  </si>
  <si>
    <t>Full Name</t>
  </si>
  <si>
    <t>Organization Name</t>
  </si>
  <si>
    <t>Position Name</t>
  </si>
  <si>
    <t>Work Location</t>
  </si>
  <si>
    <t>Date</t>
  </si>
  <si>
    <t>Check In</t>
  </si>
  <si>
    <t>Check Out</t>
  </si>
  <si>
    <t>Duration</t>
  </si>
  <si>
    <t>Holiday</t>
  </si>
  <si>
    <t>Notes</t>
  </si>
  <si>
    <t>0525006</t>
  </si>
  <si>
    <t>Arief Joko Wicaksono</t>
  </si>
  <si>
    <r>
      <rPr>
        <sz val="12"/>
        <rFont val="Arial"/>
        <family val="2"/>
        <charset val="1"/>
      </rPr>
      <t>Professional</t>
    </r>
    <r>
      <rPr>
        <sz val="12"/>
        <rFont val="Times New Roman"/>
        <family val="1"/>
        <charset val="1"/>
      </rPr>
      <t xml:space="preserve"> </t>
    </r>
    <r>
      <rPr>
        <sz val="12"/>
        <rFont val="Arial"/>
        <family val="2"/>
        <charset val="1"/>
      </rPr>
      <t>Services</t>
    </r>
  </si>
  <si>
    <t>IT Support</t>
  </si>
  <si>
    <t>Pemohon,</t>
  </si>
  <si>
    <t xml:space="preserve">Mengetahui, </t>
  </si>
  <si>
    <t xml:space="preserve">Menyetujui, </t>
  </si>
  <si>
    <t>( Arief Joko Wicaksono)</t>
  </si>
  <si>
    <t>(                                        )</t>
  </si>
  <si>
    <t>Karyawan</t>
  </si>
  <si>
    <t>Supreviser / User</t>
  </si>
  <si>
    <t>HRD Dept</t>
  </si>
  <si>
    <t>07:00</t>
  </si>
  <si>
    <t>15:00</t>
  </si>
  <si>
    <t>23:00</t>
  </si>
  <si>
    <t>Periode :              Juli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</si>
</sst>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&quot; Hours&quot;"/>
    <numFmt numFmtId="165" formatCode="###0000000;###0000000"/>
    <numFmt numFmtId="166" formatCode="dd\/mm\/yyyy"/>
  </numFmts>
  <fonts count="15" x14ac:knownFonts="1">
    <font>
      <sz val="10"/>
      <color rgb="FF000000"/>
      <name val="Times New Roman"/>
      <charset val="1"/>
    </font>
    <font>
      <b/>
      <sz val="10"/>
      <name val="Arial"/>
      <family val="2"/>
      <charset val="1"/>
    </font>
    <font>
      <sz val="10"/>
      <name val="Times New Roman"/>
      <family val="1"/>
      <charset val="1"/>
    </font>
    <font>
      <b/>
      <sz val="10"/>
      <name val="Times New Roman"/>
      <family val="1"/>
      <charset val="1"/>
    </font>
    <font>
      <b/>
      <sz val="16"/>
      <name val="Calibri"/>
      <family val="2"/>
      <charset val="1"/>
    </font>
    <font>
      <sz val="12"/>
      <name val="Arial"/>
      <family val="2"/>
      <charset val="1"/>
    </font>
    <font>
      <sz val="12"/>
      <color rgb="FF000000"/>
      <name val="Arial"/>
      <family val="2"/>
      <charset val="1"/>
    </font>
    <font>
      <b/>
      <sz val="9"/>
      <name val="Times New Roman"/>
      <family val="1"/>
      <charset val="1"/>
    </font>
    <font>
      <b/>
      <sz val="12"/>
      <name val="Times New Roman"/>
      <family val="1"/>
      <charset val="1"/>
    </font>
    <font>
      <sz val="10"/>
      <color rgb="FF000000"/>
      <name val="Times New Roman"/>
      <family val="1"/>
      <charset val="1"/>
    </font>
    <font>
      <sz val="12"/>
      <name val="Times New Roman"/>
      <family val="1"/>
      <charset val="1"/>
    </font>
    <font>
      <sz val="12"/>
      <color rgb="FF000000"/>
      <name val="Arial"/>
      <charset val="1"/>
    </font>
    <font>
      <sz val="11"/>
      <name val="Calibri"/>
      <family val="2"/>
      <charset val="1"/>
    </font>
    <font>
      <b/>
      <sz val="10"/>
      <color rgb="FF000000"/>
      <name val="Times New Roman"/>
      <family val="1"/>
      <charset val="1"/>
    </font>
    <font>
      <sz val="12"/>
      <name val="Calibri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9" fillId="0" borderId="0" xfId="0" applyFont="1" applyAlignment="1">
      <alignment horizontal="left" vertical="top"/>
    </xf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4" fillId="0" borderId="0" xfId="0" applyFont="1" applyAlignment="1">
      <alignment horizontal="left" vertical="top"/>
    </xf>
    <xf numFmtId="0" fontId="5" fillId="0" borderId="0" xfId="0" applyFont="1" applyAlignment="1">
      <alignment horizontal="left" vertical="top"/>
    </xf>
    <xf numFmtId="164" fontId="6" fillId="0" borderId="0" xfId="0" applyNumberFormat="1" applyFont="1" applyAlignment="1">
      <alignment horizontal="left" vertical="top"/>
    </xf>
    <xf numFmtId="164" fontId="0" fillId="0" borderId="0" xfId="0" applyNumberFormat="1" applyAlignment="1">
      <alignment horizontal="left" vertical="top"/>
    </xf>
    <xf numFmtId="0" fontId="7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7" fillId="0" borderId="0" xfId="0" applyFont="1" applyAlignment="1">
      <alignment horizontal="left" vertical="center" wrapText="1"/>
    </xf>
    <xf numFmtId="0" fontId="7" fillId="0" borderId="0" xfId="0" applyFont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165" fontId="10" fillId="0" borderId="1" xfId="0" applyNumberFormat="1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166" fontId="6" fillId="0" borderId="3" xfId="0" applyNumberFormat="1" applyFont="1" applyBorder="1" applyAlignment="1">
      <alignment horizontal="center" vertical="center" wrapText="1"/>
    </xf>
    <xf numFmtId="164" fontId="11" fillId="0" borderId="3" xfId="0" applyNumberFormat="1" applyFont="1" applyBorder="1" applyAlignment="1">
      <alignment horizontal="center" vertical="center" wrapText="1"/>
    </xf>
    <xf numFmtId="164" fontId="6" fillId="0" borderId="3" xfId="0" applyNumberFormat="1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12" fillId="0" borderId="0" xfId="0" applyFont="1" applyAlignment="1">
      <alignment horizontal="left" vertical="center"/>
    </xf>
    <xf numFmtId="0" fontId="13" fillId="0" borderId="0" xfId="0" applyFont="1" applyAlignment="1">
      <alignment horizontal="center" vertical="top"/>
    </xf>
    <xf numFmtId="0" fontId="13" fillId="0" borderId="0" xfId="0" applyFont="1" applyAlignment="1">
      <alignment horizontal="left" vertical="top"/>
    </xf>
    <xf numFmtId="0" fontId="9" fillId="0" borderId="0" xfId="0" applyFont="1" applyAlignment="1">
      <alignment horizontal="center" vertical="top"/>
    </xf>
    <xf numFmtId="0" fontId="9" fillId="0" borderId="0" xfId="0" applyFont="1" applyAlignment="1">
      <alignment horizontal="left" vertical="top"/>
    </xf>
    <xf numFmtId="49" fontId="14" fillId="0" borderId="5" xfId="0" applyNumberFormat="1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333360</xdr:colOff>
      <xdr:row>47</xdr:row>
      <xdr:rowOff>60840</xdr:rowOff>
    </xdr:from>
    <xdr:to>
      <xdr:col>1</xdr:col>
      <xdr:colOff>1741320</xdr:colOff>
      <xdr:row>53</xdr:row>
      <xdr:rowOff>1800</xdr:rowOff>
    </xdr:to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1816560" y="9223920"/>
          <a:ext cx="1407960" cy="91260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Times New Roman"/>
        <a:ea typeface="Times New Roman"/>
        <a:cs typeface="Times New Roman"/>
      </a:majorFont>
      <a:minorFont>
        <a:latin typeface="Times New Roman"/>
        <a:ea typeface="Times New Roman"/>
        <a:cs typeface="Times New Roman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48573"/>
  <sheetViews>
    <sheetView tabSelected="1" zoomScale="90" zoomScaleNormal="90" workbookViewId="0">
      <selection activeCell="C9" sqref="C9"/>
    </sheetView>
  </sheetViews>
  <sheetFormatPr defaultColWidth="16.78515625" defaultRowHeight="15" customHeight="1" x14ac:dyDescent="0.4"/>
  <cols>
    <col min="1" max="1" width="23.35546875" customWidth="1"/>
    <col min="2" max="2" width="28.42578125" customWidth="1"/>
    <col min="3" max="3" width="29.42578125" customWidth="1"/>
    <col min="4" max="11" width="23.35546875" customWidth="1"/>
    <col min="12" max="12" width="9.35546875" hidden="1" customWidth="1"/>
    <col min="13" max="26" width="9.35546875" customWidth="1"/>
  </cols>
  <sheetData>
    <row r="1" spans="1:26" ht="12" customHeight="1" x14ac:dyDescent="0.4">
      <c r="A1" s="2" t="s">
        <v>0</v>
      </c>
      <c r="B1" s="3"/>
      <c r="C1" s="3"/>
    </row>
    <row r="2" spans="1:26" ht="12" customHeight="1" x14ac:dyDescent="0.4">
      <c r="A2" s="2" t="s">
        <v>1</v>
      </c>
      <c r="B2" s="3"/>
      <c r="C2" s="3"/>
    </row>
    <row r="3" spans="1:26" ht="12" customHeight="1" x14ac:dyDescent="0.4">
      <c r="A3" s="2" t="s">
        <v>2</v>
      </c>
      <c r="B3" s="3"/>
      <c r="C3" s="3"/>
    </row>
    <row r="4" spans="1:26" ht="24" customHeight="1" x14ac:dyDescent="0.4">
      <c r="A4" s="4" t="s">
        <v>3</v>
      </c>
    </row>
    <row r="5" spans="1:26" ht="13.5" customHeight="1" x14ac:dyDescent="0.4">
      <c r="A5" s="5" t="s">
        <v>4</v>
      </c>
      <c r="B5" s="5"/>
      <c r="C5" s="5"/>
      <c r="D5" s="5"/>
      <c r="E5" s="5" t="s">
        <v>5</v>
      </c>
      <c r="F5" s="6">
        <f>SUM(I12:I42)</f>
        <v>184</v>
      </c>
      <c r="J5" s="7"/>
    </row>
    <row r="6" spans="1:26" ht="13.5" customHeight="1" x14ac:dyDescent="0.4">
      <c r="A6" s="5" t="s">
        <v>6</v>
      </c>
      <c r="B6" s="5"/>
      <c r="C6" s="5"/>
      <c r="D6" s="5"/>
      <c r="E6" s="5" t="s">
        <v>7</v>
      </c>
      <c r="F6" s="6">
        <f>SUMIF(L12:L42,"Lembur",I12:I42)</f>
        <v>0</v>
      </c>
      <c r="G6" s="5"/>
    </row>
    <row r="7" spans="1:26" ht="13.5" customHeight="1" x14ac:dyDescent="0.4">
      <c r="A7" s="5" t="s">
        <v>36</v>
      </c>
      <c r="B7" s="5"/>
      <c r="C7" s="5"/>
      <c r="D7" s="5"/>
      <c r="E7" s="5"/>
      <c r="F7" s="5"/>
    </row>
    <row r="8" spans="1:26" ht="13.5" customHeight="1" x14ac:dyDescent="0.4">
      <c r="A8" s="5" t="s">
        <v>8</v>
      </c>
      <c r="B8" s="5"/>
      <c r="C8" s="5"/>
      <c r="D8" s="5"/>
      <c r="E8" s="5"/>
      <c r="F8" s="5"/>
    </row>
    <row r="9" spans="1:26" ht="15" customHeight="1" x14ac:dyDescent="0.4">
      <c r="A9" s="5" t="s">
        <v>9</v>
      </c>
      <c r="B9" s="5"/>
      <c r="C9" s="5"/>
      <c r="D9" s="5"/>
      <c r="E9" s="5"/>
      <c r="F9" s="5"/>
    </row>
    <row r="10" spans="1:26" ht="22.5" customHeight="1" x14ac:dyDescent="0.4">
      <c r="A10" s="8"/>
      <c r="B10" s="8"/>
      <c r="C10" s="8"/>
      <c r="D10" s="8"/>
      <c r="E10" s="8"/>
      <c r="F10" s="9"/>
      <c r="G10" s="10"/>
      <c r="H10" s="10"/>
      <c r="I10" s="10"/>
      <c r="J10" s="10"/>
      <c r="K10" s="11"/>
    </row>
    <row r="11" spans="1:26" x14ac:dyDescent="0.4">
      <c r="A11" s="12" t="s">
        <v>10</v>
      </c>
      <c r="B11" s="12" t="s">
        <v>11</v>
      </c>
      <c r="C11" s="12" t="s">
        <v>12</v>
      </c>
      <c r="D11" s="12" t="s">
        <v>13</v>
      </c>
      <c r="E11" s="12" t="s">
        <v>14</v>
      </c>
      <c r="F11" s="12" t="s">
        <v>15</v>
      </c>
      <c r="G11" s="13" t="s">
        <v>16</v>
      </c>
      <c r="H11" s="13" t="s">
        <v>17</v>
      </c>
      <c r="I11" s="12" t="s">
        <v>18</v>
      </c>
      <c r="J11" s="12" t="s">
        <v>19</v>
      </c>
      <c r="K11" s="12" t="s">
        <v>20</v>
      </c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5.75" x14ac:dyDescent="0.4">
      <c r="A12" s="14" t="s">
        <v>21</v>
      </c>
      <c r="B12" s="15" t="s">
        <v>22</v>
      </c>
      <c r="C12" s="15" t="s">
        <v>23</v>
      </c>
      <c r="D12" s="15" t="s">
        <v>24</v>
      </c>
      <c r="E12" s="15" t="str">
        <f>IF(I12&gt;0,"WFO","")</f>
        <v>WFO</v>
      </c>
      <c r="F12" s="16">
        <f>DATE(2026,7,1)</f>
        <v>46204</v>
      </c>
      <c r="G12" s="25" t="s">
        <v>33</v>
      </c>
      <c r="H12" s="25" t="s">
        <v>34</v>
      </c>
      <c r="I12" s="17">
        <f t="shared" ref="I12:I42" si="0">HOUR(H12-G12)</f>
        <v>8</v>
      </c>
      <c r="J12" s="18" t="str">
        <f>IF(I12&gt;0,"NO","")</f>
        <v>NO</v>
      </c>
      <c r="K12" s="19" t="str">
        <f t="shared" ref="K12:K42" si="1">IF(J12="","OFF","Standby")</f>
        <v>Standby</v>
      </c>
      <c r="L12" s="3" t="str">
        <f>IF(OR(I12=4,J12="YES"),"Lembur","0")</f>
        <v>0</v>
      </c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15.75" x14ac:dyDescent="0.4">
      <c r="A13" s="14" t="s">
        <v>21</v>
      </c>
      <c r="B13" s="15" t="s">
        <v>22</v>
      </c>
      <c r="C13" s="15" t="s">
        <v>23</v>
      </c>
      <c r="D13" s="15" t="s">
        <v>24</v>
      </c>
      <c r="E13" s="15" t="str">
        <f t="shared" ref="E13:E42" si="2">IF(I13&gt;0,"WFO","")</f>
        <v>WFO</v>
      </c>
      <c r="F13" s="16">
        <f>F12+1</f>
        <v>46205</v>
      </c>
      <c r="G13" s="25" t="s">
        <v>34</v>
      </c>
      <c r="H13" s="25" t="s">
        <v>35</v>
      </c>
      <c r="I13" s="17">
        <f t="shared" si="0"/>
        <v>8</v>
      </c>
      <c r="J13" s="18" t="str">
        <f t="shared" ref="J13:J42" si="3">IF(I13&gt;0,"NO","")</f>
        <v>NO</v>
      </c>
      <c r="K13" s="19" t="str">
        <f t="shared" si="1"/>
        <v>Standby</v>
      </c>
      <c r="L13" s="3" t="str">
        <f t="shared" ref="L13:L42" si="4">IF(OR(I13=4,J13="YES"),"Lembur","0")</f>
        <v>0</v>
      </c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15.75" x14ac:dyDescent="0.4">
      <c r="A14" s="14" t="s">
        <v>21</v>
      </c>
      <c r="B14" s="15" t="s">
        <v>22</v>
      </c>
      <c r="C14" s="15" t="s">
        <v>23</v>
      </c>
      <c r="D14" s="15" t="s">
        <v>24</v>
      </c>
      <c r="E14" s="15" t="str">
        <f t="shared" si="2"/>
        <v>WFO</v>
      </c>
      <c r="F14" s="16">
        <f t="shared" ref="F14:F42" si="5">F13+1</f>
        <v>46206</v>
      </c>
      <c r="G14" s="25" t="s">
        <v>34</v>
      </c>
      <c r="H14" s="25" t="s">
        <v>35</v>
      </c>
      <c r="I14" s="17">
        <f t="shared" si="0"/>
        <v>8</v>
      </c>
      <c r="J14" s="18" t="str">
        <f t="shared" si="3"/>
        <v>NO</v>
      </c>
      <c r="K14" s="19" t="str">
        <f t="shared" si="1"/>
        <v>Standby</v>
      </c>
      <c r="L14" s="3" t="str">
        <f t="shared" si="4"/>
        <v>0</v>
      </c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15.75" x14ac:dyDescent="0.4">
      <c r="A15" s="14" t="s">
        <v>21</v>
      </c>
      <c r="B15" s="15" t="s">
        <v>22</v>
      </c>
      <c r="C15" s="15" t="s">
        <v>23</v>
      </c>
      <c r="D15" s="15" t="s">
        <v>24</v>
      </c>
      <c r="E15" s="15" t="str">
        <f t="shared" si="2"/>
        <v/>
      </c>
      <c r="F15" s="16">
        <f t="shared" si="5"/>
        <v>46207</v>
      </c>
      <c r="G15" s="25"/>
      <c r="H15" s="25"/>
      <c r="I15" s="17">
        <f t="shared" si="0"/>
        <v>0</v>
      </c>
      <c r="J15" s="18" t="str">
        <f t="shared" si="3"/>
        <v/>
      </c>
      <c r="K15" s="19" t="str">
        <f t="shared" si="1"/>
        <v>OFF</v>
      </c>
      <c r="L15" s="3" t="str">
        <f t="shared" si="4"/>
        <v>0</v>
      </c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ht="15.75" x14ac:dyDescent="0.4">
      <c r="A16" s="14" t="s">
        <v>21</v>
      </c>
      <c r="B16" s="15" t="s">
        <v>22</v>
      </c>
      <c r="C16" s="15" t="s">
        <v>23</v>
      </c>
      <c r="D16" s="15" t="s">
        <v>24</v>
      </c>
      <c r="E16" s="15" t="str">
        <f t="shared" si="2"/>
        <v>WFO</v>
      </c>
      <c r="F16" s="16">
        <f t="shared" si="5"/>
        <v>46208</v>
      </c>
      <c r="G16" s="25" t="s">
        <v>35</v>
      </c>
      <c r="H16" s="25" t="s">
        <v>33</v>
      </c>
      <c r="I16" s="17">
        <v>8</v>
      </c>
      <c r="J16" s="18" t="str">
        <f t="shared" si="3"/>
        <v>NO</v>
      </c>
      <c r="K16" s="19" t="str">
        <f t="shared" si="1"/>
        <v>Standby</v>
      </c>
      <c r="L16" s="3" t="str">
        <f t="shared" si="4"/>
        <v>0</v>
      </c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ht="15.75" x14ac:dyDescent="0.4">
      <c r="A17" s="14" t="s">
        <v>21</v>
      </c>
      <c r="B17" s="15" t="s">
        <v>22</v>
      </c>
      <c r="C17" s="15" t="s">
        <v>23</v>
      </c>
      <c r="D17" s="15" t="s">
        <v>24</v>
      </c>
      <c r="E17" s="15" t="str">
        <f t="shared" si="2"/>
        <v>WFO</v>
      </c>
      <c r="F17" s="16">
        <f t="shared" si="5"/>
        <v>46209</v>
      </c>
      <c r="G17" s="25" t="s">
        <v>35</v>
      </c>
      <c r="H17" s="25" t="s">
        <v>33</v>
      </c>
      <c r="I17" s="17">
        <v>8</v>
      </c>
      <c r="J17" s="18" t="str">
        <f t="shared" si="3"/>
        <v>NO</v>
      </c>
      <c r="K17" s="19" t="str">
        <f t="shared" si="1"/>
        <v>Standby</v>
      </c>
      <c r="L17" s="3" t="str">
        <f t="shared" si="4"/>
        <v>0</v>
      </c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ht="15.75" x14ac:dyDescent="0.4">
      <c r="A18" s="14" t="s">
        <v>21</v>
      </c>
      <c r="B18" s="15" t="s">
        <v>22</v>
      </c>
      <c r="C18" s="15" t="s">
        <v>23</v>
      </c>
      <c r="D18" s="15" t="s">
        <v>24</v>
      </c>
      <c r="E18" s="15" t="str">
        <f t="shared" si="2"/>
        <v/>
      </c>
      <c r="F18" s="16">
        <f t="shared" si="5"/>
        <v>46210</v>
      </c>
      <c r="G18" s="25"/>
      <c r="H18" s="25"/>
      <c r="I18" s="17">
        <f t="shared" si="0"/>
        <v>0</v>
      </c>
      <c r="J18" s="18" t="str">
        <f t="shared" si="3"/>
        <v/>
      </c>
      <c r="K18" s="19" t="str">
        <f t="shared" si="1"/>
        <v>OFF</v>
      </c>
      <c r="L18" s="3" t="str">
        <f t="shared" si="4"/>
        <v>0</v>
      </c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ht="15.75" x14ac:dyDescent="0.4">
      <c r="A19" s="14" t="s">
        <v>21</v>
      </c>
      <c r="B19" s="15" t="s">
        <v>22</v>
      </c>
      <c r="C19" s="15" t="s">
        <v>23</v>
      </c>
      <c r="D19" s="15" t="s">
        <v>24</v>
      </c>
      <c r="E19" s="15" t="str">
        <f t="shared" si="2"/>
        <v>WFO</v>
      </c>
      <c r="F19" s="16">
        <f t="shared" si="5"/>
        <v>46211</v>
      </c>
      <c r="G19" s="25" t="s">
        <v>33</v>
      </c>
      <c r="H19" s="25" t="s">
        <v>34</v>
      </c>
      <c r="I19" s="17">
        <f t="shared" si="0"/>
        <v>8</v>
      </c>
      <c r="J19" s="18" t="str">
        <f t="shared" si="3"/>
        <v>NO</v>
      </c>
      <c r="K19" s="19" t="str">
        <f t="shared" si="1"/>
        <v>Standby</v>
      </c>
      <c r="L19" s="3" t="str">
        <f t="shared" si="4"/>
        <v>0</v>
      </c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ht="15.75" x14ac:dyDescent="0.4">
      <c r="A20" s="14" t="s">
        <v>21</v>
      </c>
      <c r="B20" s="15" t="s">
        <v>22</v>
      </c>
      <c r="C20" s="15" t="s">
        <v>23</v>
      </c>
      <c r="D20" s="15" t="s">
        <v>24</v>
      </c>
      <c r="E20" s="15" t="str">
        <f t="shared" si="2"/>
        <v>WFO</v>
      </c>
      <c r="F20" s="16">
        <f t="shared" si="5"/>
        <v>46212</v>
      </c>
      <c r="G20" s="25" t="s">
        <v>33</v>
      </c>
      <c r="H20" s="25" t="s">
        <v>34</v>
      </c>
      <c r="I20" s="17">
        <f t="shared" si="0"/>
        <v>8</v>
      </c>
      <c r="J20" s="18" t="str">
        <f t="shared" si="3"/>
        <v>NO</v>
      </c>
      <c r="K20" s="19" t="str">
        <f t="shared" si="1"/>
        <v>Standby</v>
      </c>
      <c r="L20" s="3" t="str">
        <f t="shared" si="4"/>
        <v>0</v>
      </c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15.75" x14ac:dyDescent="0.4">
      <c r="A21" s="14" t="s">
        <v>21</v>
      </c>
      <c r="B21" s="15" t="s">
        <v>22</v>
      </c>
      <c r="C21" s="15" t="s">
        <v>23</v>
      </c>
      <c r="D21" s="15" t="s">
        <v>24</v>
      </c>
      <c r="E21" s="15" t="str">
        <f t="shared" si="2"/>
        <v>WFO</v>
      </c>
      <c r="F21" s="16">
        <f t="shared" si="5"/>
        <v>46213</v>
      </c>
      <c r="G21" s="25" t="s">
        <v>34</v>
      </c>
      <c r="H21" s="25" t="s">
        <v>35</v>
      </c>
      <c r="I21" s="17">
        <f t="shared" si="0"/>
        <v>8</v>
      </c>
      <c r="J21" s="18" t="str">
        <f t="shared" si="3"/>
        <v>NO</v>
      </c>
      <c r="K21" s="19" t="str">
        <f t="shared" si="1"/>
        <v>Standby</v>
      </c>
      <c r="L21" s="3" t="str">
        <f t="shared" si="4"/>
        <v>0</v>
      </c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15.75" x14ac:dyDescent="0.4">
      <c r="A22" s="14" t="s">
        <v>21</v>
      </c>
      <c r="B22" s="15" t="s">
        <v>22</v>
      </c>
      <c r="C22" s="15" t="s">
        <v>23</v>
      </c>
      <c r="D22" s="15" t="s">
        <v>24</v>
      </c>
      <c r="E22" s="15" t="str">
        <f t="shared" si="2"/>
        <v>WFO</v>
      </c>
      <c r="F22" s="16">
        <f t="shared" si="5"/>
        <v>46214</v>
      </c>
      <c r="G22" s="25" t="s">
        <v>34</v>
      </c>
      <c r="H22" s="25" t="s">
        <v>35</v>
      </c>
      <c r="I22" s="17">
        <f t="shared" si="0"/>
        <v>8</v>
      </c>
      <c r="J22" s="18" t="str">
        <f t="shared" si="3"/>
        <v>NO</v>
      </c>
      <c r="K22" s="19" t="str">
        <f t="shared" si="1"/>
        <v>Standby</v>
      </c>
      <c r="L22" s="3" t="str">
        <f t="shared" si="4"/>
        <v>0</v>
      </c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15.75" x14ac:dyDescent="0.4">
      <c r="A23" s="14" t="s">
        <v>21</v>
      </c>
      <c r="B23" s="15" t="s">
        <v>22</v>
      </c>
      <c r="C23" s="15" t="s">
        <v>23</v>
      </c>
      <c r="D23" s="15" t="s">
        <v>24</v>
      </c>
      <c r="E23" s="15" t="str">
        <f t="shared" si="2"/>
        <v/>
      </c>
      <c r="F23" s="16">
        <f t="shared" si="5"/>
        <v>46215</v>
      </c>
      <c r="G23" s="25"/>
      <c r="H23" s="25"/>
      <c r="I23" s="17">
        <f t="shared" si="0"/>
        <v>0</v>
      </c>
      <c r="J23" s="18" t="str">
        <f t="shared" si="3"/>
        <v/>
      </c>
      <c r="K23" s="19" t="str">
        <f t="shared" si="1"/>
        <v>OFF</v>
      </c>
      <c r="L23" s="3" t="str">
        <f t="shared" si="4"/>
        <v>0</v>
      </c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15.75" x14ac:dyDescent="0.4">
      <c r="A24" s="14" t="s">
        <v>21</v>
      </c>
      <c r="B24" s="15" t="s">
        <v>22</v>
      </c>
      <c r="C24" s="15" t="s">
        <v>23</v>
      </c>
      <c r="D24" s="15" t="s">
        <v>24</v>
      </c>
      <c r="E24" s="15" t="str">
        <f t="shared" si="2"/>
        <v>WFO</v>
      </c>
      <c r="F24" s="16">
        <f t="shared" si="5"/>
        <v>46216</v>
      </c>
      <c r="G24" s="25" t="s">
        <v>35</v>
      </c>
      <c r="H24" s="25" t="s">
        <v>33</v>
      </c>
      <c r="I24" s="17">
        <v>8</v>
      </c>
      <c r="J24" s="18" t="str">
        <f t="shared" si="3"/>
        <v>NO</v>
      </c>
      <c r="K24" s="19" t="str">
        <f t="shared" si="1"/>
        <v>Standby</v>
      </c>
      <c r="L24" s="3" t="str">
        <f t="shared" si="4"/>
        <v>0</v>
      </c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15.75" x14ac:dyDescent="0.4">
      <c r="A25" s="14" t="s">
        <v>21</v>
      </c>
      <c r="B25" s="15" t="s">
        <v>22</v>
      </c>
      <c r="C25" s="15" t="s">
        <v>23</v>
      </c>
      <c r="D25" s="15" t="s">
        <v>24</v>
      </c>
      <c r="E25" s="15" t="str">
        <f t="shared" si="2"/>
        <v>WFO</v>
      </c>
      <c r="F25" s="16">
        <f t="shared" si="5"/>
        <v>46217</v>
      </c>
      <c r="G25" s="25" t="s">
        <v>35</v>
      </c>
      <c r="H25" s="25" t="s">
        <v>33</v>
      </c>
      <c r="I25" s="17">
        <v>8</v>
      </c>
      <c r="J25" s="18" t="str">
        <f t="shared" si="3"/>
        <v>NO</v>
      </c>
      <c r="K25" s="19" t="str">
        <f t="shared" si="1"/>
        <v>Standby</v>
      </c>
      <c r="L25" s="3" t="str">
        <f t="shared" si="4"/>
        <v>0</v>
      </c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15.75" x14ac:dyDescent="0.4">
      <c r="A26" s="14" t="s">
        <v>21</v>
      </c>
      <c r="B26" s="15" t="s">
        <v>22</v>
      </c>
      <c r="C26" s="15" t="s">
        <v>23</v>
      </c>
      <c r="D26" s="15" t="s">
        <v>24</v>
      </c>
      <c r="E26" s="15" t="str">
        <f t="shared" si="2"/>
        <v/>
      </c>
      <c r="F26" s="16">
        <f t="shared" si="5"/>
        <v>46218</v>
      </c>
      <c r="G26" s="25"/>
      <c r="H26" s="25"/>
      <c r="I26" s="17">
        <f t="shared" si="0"/>
        <v>0</v>
      </c>
      <c r="J26" s="18" t="str">
        <f t="shared" si="3"/>
        <v/>
      </c>
      <c r="K26" s="19" t="str">
        <f t="shared" si="1"/>
        <v>OFF</v>
      </c>
      <c r="L26" s="3" t="str">
        <f t="shared" si="4"/>
        <v>0</v>
      </c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15.75" x14ac:dyDescent="0.4">
      <c r="A27" s="14" t="s">
        <v>21</v>
      </c>
      <c r="B27" s="15" t="s">
        <v>22</v>
      </c>
      <c r="C27" s="15" t="s">
        <v>23</v>
      </c>
      <c r="D27" s="15" t="s">
        <v>24</v>
      </c>
      <c r="E27" s="15" t="str">
        <f t="shared" si="2"/>
        <v>WFO</v>
      </c>
      <c r="F27" s="16">
        <f t="shared" si="5"/>
        <v>46219</v>
      </c>
      <c r="G27" s="25" t="s">
        <v>33</v>
      </c>
      <c r="H27" s="25" t="s">
        <v>34</v>
      </c>
      <c r="I27" s="17">
        <f t="shared" si="0"/>
        <v>8</v>
      </c>
      <c r="J27" s="18" t="str">
        <f t="shared" si="3"/>
        <v>NO</v>
      </c>
      <c r="K27" s="19" t="str">
        <f t="shared" si="1"/>
        <v>Standby</v>
      </c>
      <c r="L27" s="3" t="str">
        <f t="shared" si="4"/>
        <v>0</v>
      </c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15.75" x14ac:dyDescent="0.4">
      <c r="A28" s="14" t="s">
        <v>21</v>
      </c>
      <c r="B28" s="15" t="s">
        <v>22</v>
      </c>
      <c r="C28" s="15" t="s">
        <v>23</v>
      </c>
      <c r="D28" s="15" t="s">
        <v>24</v>
      </c>
      <c r="E28" s="15" t="str">
        <f>IF(I28&gt;0,"WFO","")</f>
        <v>WFO</v>
      </c>
      <c r="F28" s="16">
        <f t="shared" si="5"/>
        <v>46220</v>
      </c>
      <c r="G28" s="25" t="s">
        <v>33</v>
      </c>
      <c r="H28" s="25" t="s">
        <v>34</v>
      </c>
      <c r="I28" s="17">
        <f t="shared" si="0"/>
        <v>8</v>
      </c>
      <c r="J28" s="18" t="str">
        <f t="shared" si="3"/>
        <v>NO</v>
      </c>
      <c r="K28" s="19" t="str">
        <f t="shared" si="1"/>
        <v>Standby</v>
      </c>
      <c r="L28" s="3" t="str">
        <f t="shared" si="4"/>
        <v>0</v>
      </c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15.75" x14ac:dyDescent="0.4">
      <c r="A29" s="14" t="s">
        <v>21</v>
      </c>
      <c r="B29" s="15" t="s">
        <v>22</v>
      </c>
      <c r="C29" s="15" t="s">
        <v>23</v>
      </c>
      <c r="D29" s="15" t="s">
        <v>24</v>
      </c>
      <c r="E29" s="15" t="str">
        <f t="shared" si="2"/>
        <v>WFO</v>
      </c>
      <c r="F29" s="16">
        <f t="shared" si="5"/>
        <v>46221</v>
      </c>
      <c r="G29" s="25" t="s">
        <v>34</v>
      </c>
      <c r="H29" s="25" t="s">
        <v>35</v>
      </c>
      <c r="I29" s="17">
        <f t="shared" si="0"/>
        <v>8</v>
      </c>
      <c r="J29" s="18" t="str">
        <f t="shared" si="3"/>
        <v>NO</v>
      </c>
      <c r="K29" s="19" t="str">
        <f t="shared" si="1"/>
        <v>Standby</v>
      </c>
      <c r="L29" s="3" t="str">
        <f t="shared" si="4"/>
        <v>0</v>
      </c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15.75" x14ac:dyDescent="0.4">
      <c r="A30" s="14" t="s">
        <v>21</v>
      </c>
      <c r="B30" s="15" t="s">
        <v>22</v>
      </c>
      <c r="C30" s="15" t="s">
        <v>23</v>
      </c>
      <c r="D30" s="15" t="s">
        <v>24</v>
      </c>
      <c r="E30" s="15" t="str">
        <f t="shared" si="2"/>
        <v>WFO</v>
      </c>
      <c r="F30" s="16">
        <f t="shared" si="5"/>
        <v>46222</v>
      </c>
      <c r="G30" s="25" t="s">
        <v>34</v>
      </c>
      <c r="H30" s="25" t="s">
        <v>35</v>
      </c>
      <c r="I30" s="17">
        <f t="shared" si="0"/>
        <v>8</v>
      </c>
      <c r="J30" s="18" t="str">
        <f t="shared" si="3"/>
        <v>NO</v>
      </c>
      <c r="K30" s="19" t="str">
        <f t="shared" si="1"/>
        <v>Standby</v>
      </c>
      <c r="L30" s="3" t="str">
        <f t="shared" si="4"/>
        <v>0</v>
      </c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15.75" x14ac:dyDescent="0.4">
      <c r="A31" s="14" t="s">
        <v>21</v>
      </c>
      <c r="B31" s="15" t="s">
        <v>22</v>
      </c>
      <c r="C31" s="15" t="s">
        <v>23</v>
      </c>
      <c r="D31" s="15" t="s">
        <v>24</v>
      </c>
      <c r="E31" s="15" t="str">
        <f t="shared" si="2"/>
        <v/>
      </c>
      <c r="F31" s="16">
        <f t="shared" si="5"/>
        <v>46223</v>
      </c>
      <c r="G31" s="25"/>
      <c r="H31" s="25"/>
      <c r="I31" s="17">
        <f t="shared" si="0"/>
        <v>0</v>
      </c>
      <c r="J31" s="18" t="str">
        <f t="shared" si="3"/>
        <v/>
      </c>
      <c r="K31" s="19" t="str">
        <f t="shared" si="1"/>
        <v>OFF</v>
      </c>
      <c r="L31" s="3" t="str">
        <f t="shared" si="4"/>
        <v>0</v>
      </c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ht="15.75" customHeight="1" x14ac:dyDescent="0.4">
      <c r="A32" s="14" t="s">
        <v>21</v>
      </c>
      <c r="B32" s="15" t="s">
        <v>22</v>
      </c>
      <c r="C32" s="15" t="s">
        <v>23</v>
      </c>
      <c r="D32" s="15" t="s">
        <v>24</v>
      </c>
      <c r="E32" s="15" t="str">
        <f t="shared" si="2"/>
        <v>WFO</v>
      </c>
      <c r="F32" s="16">
        <f t="shared" si="5"/>
        <v>46224</v>
      </c>
      <c r="G32" s="25" t="s">
        <v>35</v>
      </c>
      <c r="H32" s="25" t="s">
        <v>33</v>
      </c>
      <c r="I32" s="17">
        <v>8</v>
      </c>
      <c r="J32" s="18" t="str">
        <f t="shared" si="3"/>
        <v>NO</v>
      </c>
      <c r="K32" s="19" t="str">
        <f t="shared" si="1"/>
        <v>Standby</v>
      </c>
      <c r="L32" s="3" t="str">
        <f t="shared" si="4"/>
        <v>0</v>
      </c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ht="15.75" customHeight="1" x14ac:dyDescent="0.4">
      <c r="A33" s="14" t="s">
        <v>21</v>
      </c>
      <c r="B33" s="15" t="s">
        <v>22</v>
      </c>
      <c r="C33" s="15" t="s">
        <v>23</v>
      </c>
      <c r="D33" s="15" t="s">
        <v>24</v>
      </c>
      <c r="E33" s="15" t="str">
        <f t="shared" si="2"/>
        <v>WFO</v>
      </c>
      <c r="F33" s="16">
        <f t="shared" si="5"/>
        <v>46225</v>
      </c>
      <c r="G33" s="25" t="s">
        <v>35</v>
      </c>
      <c r="H33" s="25" t="s">
        <v>33</v>
      </c>
      <c r="I33" s="17">
        <v>8</v>
      </c>
      <c r="J33" s="18" t="str">
        <f t="shared" si="3"/>
        <v>NO</v>
      </c>
      <c r="K33" s="19" t="str">
        <f t="shared" si="1"/>
        <v>Standby</v>
      </c>
      <c r="L33" s="3" t="str">
        <f t="shared" si="4"/>
        <v>0</v>
      </c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ht="15.75" customHeight="1" x14ac:dyDescent="0.4">
      <c r="A34" s="14" t="s">
        <v>21</v>
      </c>
      <c r="B34" s="15" t="s">
        <v>22</v>
      </c>
      <c r="C34" s="15" t="s">
        <v>23</v>
      </c>
      <c r="D34" s="15" t="s">
        <v>24</v>
      </c>
      <c r="E34" s="15" t="str">
        <f t="shared" si="2"/>
        <v/>
      </c>
      <c r="F34" s="16">
        <f t="shared" si="5"/>
        <v>46226</v>
      </c>
      <c r="G34" s="25"/>
      <c r="H34" s="25"/>
      <c r="I34" s="17">
        <f t="shared" si="0"/>
        <v>0</v>
      </c>
      <c r="J34" s="18" t="str">
        <f t="shared" si="3"/>
        <v/>
      </c>
      <c r="K34" s="19" t="str">
        <f t="shared" si="1"/>
        <v>OFF</v>
      </c>
      <c r="L34" s="3" t="str">
        <f t="shared" si="4"/>
        <v>0</v>
      </c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ht="15.75" customHeight="1" x14ac:dyDescent="0.4">
      <c r="A35" s="14" t="s">
        <v>21</v>
      </c>
      <c r="B35" s="15" t="s">
        <v>22</v>
      </c>
      <c r="C35" s="15" t="s">
        <v>23</v>
      </c>
      <c r="D35" s="15" t="s">
        <v>24</v>
      </c>
      <c r="E35" s="15" t="str">
        <f t="shared" si="2"/>
        <v>WFO</v>
      </c>
      <c r="F35" s="16">
        <f t="shared" si="5"/>
        <v>46227</v>
      </c>
      <c r="G35" s="25" t="s">
        <v>33</v>
      </c>
      <c r="H35" s="25" t="s">
        <v>34</v>
      </c>
      <c r="I35" s="17">
        <f t="shared" si="0"/>
        <v>8</v>
      </c>
      <c r="J35" s="18" t="str">
        <f t="shared" si="3"/>
        <v>NO</v>
      </c>
      <c r="K35" s="19" t="str">
        <f t="shared" si="1"/>
        <v>Standby</v>
      </c>
      <c r="L35" s="3" t="str">
        <f t="shared" si="4"/>
        <v>0</v>
      </c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ht="15.75" customHeight="1" x14ac:dyDescent="0.4">
      <c r="A36" s="14" t="s">
        <v>21</v>
      </c>
      <c r="B36" s="15" t="s">
        <v>22</v>
      </c>
      <c r="C36" s="15" t="s">
        <v>23</v>
      </c>
      <c r="D36" s="15" t="s">
        <v>24</v>
      </c>
      <c r="E36" s="15" t="str">
        <f t="shared" si="2"/>
        <v>WFO</v>
      </c>
      <c r="F36" s="16">
        <f t="shared" si="5"/>
        <v>46228</v>
      </c>
      <c r="G36" s="25" t="s">
        <v>33</v>
      </c>
      <c r="H36" s="25" t="s">
        <v>34</v>
      </c>
      <c r="I36" s="17">
        <f t="shared" si="0"/>
        <v>8</v>
      </c>
      <c r="J36" s="18" t="str">
        <f t="shared" si="3"/>
        <v>NO</v>
      </c>
      <c r="K36" s="19" t="str">
        <f t="shared" si="1"/>
        <v>Standby</v>
      </c>
      <c r="L36" s="3" t="str">
        <f t="shared" si="4"/>
        <v>0</v>
      </c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ht="15.75" customHeight="1" x14ac:dyDescent="0.4">
      <c r="A37" s="14" t="s">
        <v>21</v>
      </c>
      <c r="B37" s="15" t="s">
        <v>22</v>
      </c>
      <c r="C37" s="15" t="s">
        <v>23</v>
      </c>
      <c r="D37" s="15" t="s">
        <v>24</v>
      </c>
      <c r="E37" s="15" t="str">
        <f t="shared" si="2"/>
        <v>WFO</v>
      </c>
      <c r="F37" s="16">
        <f t="shared" si="5"/>
        <v>46229</v>
      </c>
      <c r="G37" s="25" t="s">
        <v>34</v>
      </c>
      <c r="H37" s="25" t="s">
        <v>35</v>
      </c>
      <c r="I37" s="17">
        <f t="shared" si="0"/>
        <v>8</v>
      </c>
      <c r="J37" s="18" t="str">
        <f t="shared" si="3"/>
        <v>NO</v>
      </c>
      <c r="K37" s="19" t="str">
        <f t="shared" si="1"/>
        <v>Standby</v>
      </c>
      <c r="L37" s="3" t="str">
        <f t="shared" si="4"/>
        <v>0</v>
      </c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ht="15.75" customHeight="1" x14ac:dyDescent="0.4">
      <c r="A38" s="14" t="s">
        <v>21</v>
      </c>
      <c r="B38" s="15" t="s">
        <v>22</v>
      </c>
      <c r="C38" s="15" t="s">
        <v>23</v>
      </c>
      <c r="D38" s="15" t="s">
        <v>24</v>
      </c>
      <c r="E38" s="15" t="str">
        <f t="shared" si="2"/>
        <v>WFO</v>
      </c>
      <c r="F38" s="16">
        <f t="shared" si="5"/>
        <v>46230</v>
      </c>
      <c r="G38" s="25" t="s">
        <v>34</v>
      </c>
      <c r="H38" s="25" t="s">
        <v>35</v>
      </c>
      <c r="I38" s="17">
        <f t="shared" si="0"/>
        <v>8</v>
      </c>
      <c r="J38" s="18" t="str">
        <f t="shared" si="3"/>
        <v>NO</v>
      </c>
      <c r="K38" s="19" t="str">
        <f t="shared" si="1"/>
        <v>Standby</v>
      </c>
      <c r="L38" s="3" t="str">
        <f t="shared" si="4"/>
        <v>0</v>
      </c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ht="15.75" customHeight="1" x14ac:dyDescent="0.4">
      <c r="A39" s="14" t="s">
        <v>21</v>
      </c>
      <c r="B39" s="15" t="s">
        <v>22</v>
      </c>
      <c r="C39" s="15" t="s">
        <v>23</v>
      </c>
      <c r="D39" s="15" t="s">
        <v>24</v>
      </c>
      <c r="E39" s="15" t="str">
        <f t="shared" si="2"/>
        <v/>
      </c>
      <c r="F39" s="16">
        <f t="shared" si="5"/>
        <v>46231</v>
      </c>
      <c r="G39" s="25"/>
      <c r="H39" s="25"/>
      <c r="I39" s="17">
        <f t="shared" si="0"/>
        <v>0</v>
      </c>
      <c r="J39" s="18" t="str">
        <f t="shared" si="3"/>
        <v/>
      </c>
      <c r="K39" s="19" t="str">
        <f t="shared" si="1"/>
        <v>OFF</v>
      </c>
      <c r="L39" s="3" t="str">
        <f t="shared" si="4"/>
        <v>0</v>
      </c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ht="15.75" customHeight="1" x14ac:dyDescent="0.4">
      <c r="A40" s="14" t="s">
        <v>21</v>
      </c>
      <c r="B40" s="15" t="s">
        <v>22</v>
      </c>
      <c r="C40" s="15" t="s">
        <v>23</v>
      </c>
      <c r="D40" s="15" t="s">
        <v>24</v>
      </c>
      <c r="E40" s="15" t="str">
        <f t="shared" si="2"/>
        <v>WFO</v>
      </c>
      <c r="F40" s="16">
        <f t="shared" si="5"/>
        <v>46232</v>
      </c>
      <c r="G40" s="25" t="s">
        <v>35</v>
      </c>
      <c r="H40" s="25" t="s">
        <v>33</v>
      </c>
      <c r="I40" s="17">
        <v>8</v>
      </c>
      <c r="J40" s="18" t="str">
        <f t="shared" si="3"/>
        <v>NO</v>
      </c>
      <c r="K40" s="19" t="str">
        <f t="shared" si="1"/>
        <v>Standby</v>
      </c>
      <c r="L40" s="3" t="str">
        <f t="shared" si="4"/>
        <v>0</v>
      </c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ht="15.75" customHeight="1" x14ac:dyDescent="0.4">
      <c r="A41" s="14" t="s">
        <v>21</v>
      </c>
      <c r="B41" s="15" t="s">
        <v>22</v>
      </c>
      <c r="C41" s="15" t="s">
        <v>23</v>
      </c>
      <c r="D41" s="15" t="s">
        <v>24</v>
      </c>
      <c r="E41" s="15" t="str">
        <f t="shared" si="2"/>
        <v>WFO</v>
      </c>
      <c r="F41" s="16">
        <f t="shared" si="5"/>
        <v>46233</v>
      </c>
      <c r="G41" s="25" t="s">
        <v>35</v>
      </c>
      <c r="H41" s="25" t="s">
        <v>33</v>
      </c>
      <c r="I41" s="17">
        <v>8</v>
      </c>
      <c r="J41" s="18" t="str">
        <f t="shared" si="3"/>
        <v>NO</v>
      </c>
      <c r="K41" s="19" t="str">
        <f t="shared" si="1"/>
        <v>Standby</v>
      </c>
      <c r="L41" s="3" t="str">
        <f t="shared" si="4"/>
        <v>0</v>
      </c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ht="15.75" customHeight="1" x14ac:dyDescent="0.4">
      <c r="A42" s="14" t="s">
        <v>21</v>
      </c>
      <c r="B42" s="15" t="s">
        <v>22</v>
      </c>
      <c r="C42" s="15" t="s">
        <v>23</v>
      </c>
      <c r="D42" s="15" t="s">
        <v>24</v>
      </c>
      <c r="E42" s="15" t="str">
        <f t="shared" si="2"/>
        <v/>
      </c>
      <c r="F42" s="16">
        <f t="shared" si="5"/>
        <v>46234</v>
      </c>
      <c r="G42" s="25"/>
      <c r="H42" s="25"/>
      <c r="I42" s="17">
        <f t="shared" si="0"/>
        <v>0</v>
      </c>
      <c r="J42" s="18" t="str">
        <f t="shared" si="3"/>
        <v/>
      </c>
      <c r="K42" s="19" t="str">
        <f t="shared" si="1"/>
        <v>OFF</v>
      </c>
      <c r="L42" s="3" t="str">
        <f t="shared" si="4"/>
        <v>0</v>
      </c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ht="12.75" customHeight="1" x14ac:dyDescent="0.4">
      <c r="K43" s="20"/>
    </row>
    <row r="44" spans="1:26" ht="12.75" customHeight="1" x14ac:dyDescent="0.4">
      <c r="K44" s="20"/>
    </row>
    <row r="45" spans="1:26" ht="12.75" customHeight="1" x14ac:dyDescent="0.4">
      <c r="B45" s="21" t="s">
        <v>25</v>
      </c>
      <c r="E45" s="21" t="s">
        <v>26</v>
      </c>
      <c r="H45" s="21" t="s">
        <v>27</v>
      </c>
      <c r="I45" s="22"/>
      <c r="J45" s="22"/>
    </row>
    <row r="46" spans="1:26" ht="12.75" customHeight="1" x14ac:dyDescent="0.4">
      <c r="E46" s="24"/>
      <c r="F46" s="24"/>
    </row>
    <row r="47" spans="1:26" ht="12.75" customHeight="1" x14ac:dyDescent="0.4"/>
    <row r="48" spans="1:26" ht="12.75" customHeight="1" x14ac:dyDescent="0.4"/>
    <row r="49" spans="2:10" ht="12.75" customHeight="1" x14ac:dyDescent="0.4"/>
    <row r="50" spans="2:10" ht="12.75" customHeight="1" x14ac:dyDescent="0.4"/>
    <row r="51" spans="2:10" ht="12.75" customHeight="1" x14ac:dyDescent="0.4"/>
    <row r="52" spans="2:10" ht="12.75" customHeight="1" x14ac:dyDescent="0.4">
      <c r="B52" s="21" t="s">
        <v>28</v>
      </c>
      <c r="E52" s="3" t="s">
        <v>29</v>
      </c>
      <c r="H52" s="3" t="s">
        <v>29</v>
      </c>
    </row>
    <row r="53" spans="2:10" ht="12.75" customHeight="1" x14ac:dyDescent="0.4">
      <c r="B53" s="23" t="s">
        <v>30</v>
      </c>
      <c r="E53" s="23" t="s">
        <v>31</v>
      </c>
      <c r="H53" s="23" t="s">
        <v>32</v>
      </c>
      <c r="I53" s="23"/>
      <c r="J53" s="23"/>
    </row>
    <row r="54" spans="2:10" ht="12.75" customHeight="1" x14ac:dyDescent="0.4"/>
    <row r="55" spans="2:10" ht="12.75" customHeight="1" x14ac:dyDescent="0.4"/>
    <row r="56" spans="2:10" ht="12.75" customHeight="1" x14ac:dyDescent="0.4"/>
    <row r="57" spans="2:10" ht="12.75" customHeight="1" x14ac:dyDescent="0.4"/>
    <row r="58" spans="2:10" ht="12.75" customHeight="1" x14ac:dyDescent="0.4"/>
    <row r="59" spans="2:10" ht="12.75" customHeight="1" x14ac:dyDescent="0.4"/>
    <row r="60" spans="2:10" ht="12.75" customHeight="1" x14ac:dyDescent="0.4"/>
    <row r="61" spans="2:10" ht="12.75" customHeight="1" x14ac:dyDescent="0.4"/>
    <row r="62" spans="2:10" ht="12.75" customHeight="1" x14ac:dyDescent="0.4"/>
    <row r="63" spans="2:10" ht="12.75" customHeight="1" x14ac:dyDescent="0.4"/>
    <row r="64" spans="2:10" ht="12.75" customHeight="1" x14ac:dyDescent="0.4"/>
    <row r="65" ht="12.75" customHeight="1" x14ac:dyDescent="0.4"/>
    <row r="66" ht="12.75" customHeight="1" x14ac:dyDescent="0.4"/>
    <row r="67" ht="12.75" customHeight="1" x14ac:dyDescent="0.4"/>
    <row r="68" ht="12.75" customHeight="1" x14ac:dyDescent="0.4"/>
    <row r="69" ht="12.75" customHeight="1" x14ac:dyDescent="0.4"/>
    <row r="70" ht="12.75" customHeight="1" x14ac:dyDescent="0.4"/>
    <row r="71" ht="12.75" customHeight="1" x14ac:dyDescent="0.4"/>
    <row r="72" ht="12.75" customHeight="1" x14ac:dyDescent="0.4"/>
    <row r="73" ht="12.75" customHeight="1" x14ac:dyDescent="0.4"/>
    <row r="74" ht="12.75" customHeight="1" x14ac:dyDescent="0.4"/>
    <row r="75" ht="12.75" customHeight="1" x14ac:dyDescent="0.4"/>
    <row r="76" ht="12.75" customHeight="1" x14ac:dyDescent="0.4"/>
    <row r="77" ht="12.75" customHeight="1" x14ac:dyDescent="0.4"/>
    <row r="78" ht="12.75" customHeight="1" x14ac:dyDescent="0.4"/>
    <row r="79" ht="12.75" customHeight="1" x14ac:dyDescent="0.4"/>
    <row r="80" ht="12.75" customHeight="1" x14ac:dyDescent="0.4"/>
    <row r="81" ht="12.75" customHeight="1" x14ac:dyDescent="0.4"/>
    <row r="82" ht="12.75" customHeight="1" x14ac:dyDescent="0.4"/>
    <row r="83" ht="12.75" customHeight="1" x14ac:dyDescent="0.4"/>
    <row r="84" ht="12.75" customHeight="1" x14ac:dyDescent="0.4"/>
    <row r="85" ht="12.75" customHeight="1" x14ac:dyDescent="0.4"/>
    <row r="86" ht="12.75" customHeight="1" x14ac:dyDescent="0.4"/>
    <row r="87" ht="12.75" customHeight="1" x14ac:dyDescent="0.4"/>
    <row r="88" ht="12.75" customHeight="1" x14ac:dyDescent="0.4"/>
    <row r="89" ht="12.75" customHeight="1" x14ac:dyDescent="0.4"/>
    <row r="90" ht="12.75" customHeight="1" x14ac:dyDescent="0.4"/>
    <row r="91" ht="12.75" customHeight="1" x14ac:dyDescent="0.4"/>
    <row r="92" ht="12.75" customHeight="1" x14ac:dyDescent="0.4"/>
    <row r="93" ht="12.75" customHeight="1" x14ac:dyDescent="0.4"/>
    <row r="94" ht="12.75" customHeight="1" x14ac:dyDescent="0.4"/>
    <row r="95" ht="12.75" customHeight="1" x14ac:dyDescent="0.4"/>
    <row r="96" ht="12.75" customHeight="1" x14ac:dyDescent="0.4"/>
    <row r="97" ht="12.75" customHeight="1" x14ac:dyDescent="0.4"/>
    <row r="98" ht="12.75" customHeight="1" x14ac:dyDescent="0.4"/>
    <row r="99" ht="12.75" customHeight="1" x14ac:dyDescent="0.4"/>
    <row r="100" ht="12.75" customHeight="1" x14ac:dyDescent="0.4"/>
    <row r="101" ht="12.75" customHeight="1" x14ac:dyDescent="0.4"/>
    <row r="102" ht="12.75" customHeight="1" x14ac:dyDescent="0.4"/>
    <row r="103" ht="12.75" customHeight="1" x14ac:dyDescent="0.4"/>
    <row r="104" ht="12.75" customHeight="1" x14ac:dyDescent="0.4"/>
    <row r="105" ht="12.75" customHeight="1" x14ac:dyDescent="0.4"/>
    <row r="106" ht="12.75" customHeight="1" x14ac:dyDescent="0.4"/>
    <row r="107" ht="12.75" customHeight="1" x14ac:dyDescent="0.4"/>
    <row r="108" ht="12.75" customHeight="1" x14ac:dyDescent="0.4"/>
    <row r="109" ht="12.75" customHeight="1" x14ac:dyDescent="0.4"/>
    <row r="110" ht="12.75" customHeight="1" x14ac:dyDescent="0.4"/>
    <row r="111" ht="12.75" customHeight="1" x14ac:dyDescent="0.4"/>
    <row r="112" ht="12.75" customHeight="1" x14ac:dyDescent="0.4"/>
    <row r="113" ht="12.75" customHeight="1" x14ac:dyDescent="0.4"/>
    <row r="114" ht="12.75" customHeight="1" x14ac:dyDescent="0.4"/>
    <row r="115" ht="12.75" customHeight="1" x14ac:dyDescent="0.4"/>
    <row r="116" ht="12.75" customHeight="1" x14ac:dyDescent="0.4"/>
    <row r="117" ht="12.75" customHeight="1" x14ac:dyDescent="0.4"/>
    <row r="118" ht="12.75" customHeight="1" x14ac:dyDescent="0.4"/>
    <row r="119" ht="12.75" customHeight="1" x14ac:dyDescent="0.4"/>
    <row r="120" ht="12.75" customHeight="1" x14ac:dyDescent="0.4"/>
    <row r="121" ht="12.75" customHeight="1" x14ac:dyDescent="0.4"/>
    <row r="122" ht="12.75" customHeight="1" x14ac:dyDescent="0.4"/>
    <row r="123" ht="12.75" customHeight="1" x14ac:dyDescent="0.4"/>
    <row r="124" ht="12.75" customHeight="1" x14ac:dyDescent="0.4"/>
    <row r="125" ht="12.75" customHeight="1" x14ac:dyDescent="0.4"/>
    <row r="126" ht="12.75" customHeight="1" x14ac:dyDescent="0.4"/>
    <row r="127" ht="12.75" customHeight="1" x14ac:dyDescent="0.4"/>
    <row r="128" ht="12.75" customHeight="1" x14ac:dyDescent="0.4"/>
    <row r="129" ht="12.75" customHeight="1" x14ac:dyDescent="0.4"/>
    <row r="130" ht="12.75" customHeight="1" x14ac:dyDescent="0.4"/>
    <row r="131" ht="12.75" customHeight="1" x14ac:dyDescent="0.4"/>
    <row r="132" ht="12.75" customHeight="1" x14ac:dyDescent="0.4"/>
    <row r="133" ht="12.75" customHeight="1" x14ac:dyDescent="0.4"/>
    <row r="134" ht="12.75" customHeight="1" x14ac:dyDescent="0.4"/>
    <row r="135" ht="12.75" customHeight="1" x14ac:dyDescent="0.4"/>
    <row r="136" ht="12.75" customHeight="1" x14ac:dyDescent="0.4"/>
    <row r="137" ht="12.75" customHeight="1" x14ac:dyDescent="0.4"/>
    <row r="138" ht="12.75" customHeight="1" x14ac:dyDescent="0.4"/>
    <row r="139" ht="12.75" customHeight="1" x14ac:dyDescent="0.4"/>
    <row r="140" ht="12.75" customHeight="1" x14ac:dyDescent="0.4"/>
    <row r="141" ht="12.75" customHeight="1" x14ac:dyDescent="0.4"/>
    <row r="142" ht="12.75" customHeight="1" x14ac:dyDescent="0.4"/>
    <row r="143" ht="12.75" customHeight="1" x14ac:dyDescent="0.4"/>
    <row r="144" ht="12.75" customHeight="1" x14ac:dyDescent="0.4"/>
    <row r="145" ht="12.75" customHeight="1" x14ac:dyDescent="0.4"/>
    <row r="146" ht="12.75" customHeight="1" x14ac:dyDescent="0.4"/>
    <row r="147" ht="12.75" customHeight="1" x14ac:dyDescent="0.4"/>
    <row r="148" ht="12.75" customHeight="1" x14ac:dyDescent="0.4"/>
    <row r="149" ht="12.75" customHeight="1" x14ac:dyDescent="0.4"/>
    <row r="150" ht="12.75" customHeight="1" x14ac:dyDescent="0.4"/>
    <row r="151" ht="12.75" customHeight="1" x14ac:dyDescent="0.4"/>
    <row r="152" ht="12.75" customHeight="1" x14ac:dyDescent="0.4"/>
    <row r="153" ht="12.75" customHeight="1" x14ac:dyDescent="0.4"/>
    <row r="154" ht="12.75" customHeight="1" x14ac:dyDescent="0.4"/>
    <row r="155" ht="12.75" customHeight="1" x14ac:dyDescent="0.4"/>
    <row r="156" ht="12.75" customHeight="1" x14ac:dyDescent="0.4"/>
    <row r="157" ht="12.75" customHeight="1" x14ac:dyDescent="0.4"/>
    <row r="158" ht="12.75" customHeight="1" x14ac:dyDescent="0.4"/>
    <row r="159" ht="12.75" customHeight="1" x14ac:dyDescent="0.4"/>
    <row r="160" ht="12.75" customHeight="1" x14ac:dyDescent="0.4"/>
    <row r="161" ht="12.75" customHeight="1" x14ac:dyDescent="0.4"/>
    <row r="162" ht="12.75" customHeight="1" x14ac:dyDescent="0.4"/>
    <row r="163" ht="12.75" customHeight="1" x14ac:dyDescent="0.4"/>
    <row r="164" ht="12.75" customHeight="1" x14ac:dyDescent="0.4"/>
    <row r="165" ht="12.75" customHeight="1" x14ac:dyDescent="0.4"/>
    <row r="166" ht="12.75" customHeight="1" x14ac:dyDescent="0.4"/>
    <row r="167" ht="12.75" customHeight="1" x14ac:dyDescent="0.4"/>
    <row r="168" ht="12.75" customHeight="1" x14ac:dyDescent="0.4"/>
    <row r="169" ht="12.75" customHeight="1" x14ac:dyDescent="0.4"/>
    <row r="170" ht="12.75" customHeight="1" x14ac:dyDescent="0.4"/>
    <row r="171" ht="12.75" customHeight="1" x14ac:dyDescent="0.4"/>
    <row r="172" ht="12.75" customHeight="1" x14ac:dyDescent="0.4"/>
    <row r="173" ht="12.75" customHeight="1" x14ac:dyDescent="0.4"/>
    <row r="174" ht="12.75" customHeight="1" x14ac:dyDescent="0.4"/>
    <row r="175" ht="12.75" customHeight="1" x14ac:dyDescent="0.4"/>
    <row r="176" ht="12.75" customHeight="1" x14ac:dyDescent="0.4"/>
    <row r="177" ht="12.75" customHeight="1" x14ac:dyDescent="0.4"/>
    <row r="178" ht="12.75" customHeight="1" x14ac:dyDescent="0.4"/>
    <row r="179" ht="12.75" customHeight="1" x14ac:dyDescent="0.4"/>
    <row r="180" ht="12.75" customHeight="1" x14ac:dyDescent="0.4"/>
    <row r="181" ht="12.75" customHeight="1" x14ac:dyDescent="0.4"/>
    <row r="182" ht="12.75" customHeight="1" x14ac:dyDescent="0.4"/>
    <row r="183" ht="12.75" customHeight="1" x14ac:dyDescent="0.4"/>
    <row r="184" ht="12.75" customHeight="1" x14ac:dyDescent="0.4"/>
    <row r="185" ht="12.75" customHeight="1" x14ac:dyDescent="0.4"/>
    <row r="186" ht="12.75" customHeight="1" x14ac:dyDescent="0.4"/>
    <row r="187" ht="12.75" customHeight="1" x14ac:dyDescent="0.4"/>
    <row r="188" ht="12.75" customHeight="1" x14ac:dyDescent="0.4"/>
    <row r="189" ht="12.75" customHeight="1" x14ac:dyDescent="0.4"/>
    <row r="190" ht="12.75" customHeight="1" x14ac:dyDescent="0.4"/>
    <row r="191" ht="12.75" customHeight="1" x14ac:dyDescent="0.4"/>
    <row r="192" ht="12.75" customHeight="1" x14ac:dyDescent="0.4"/>
    <row r="193" ht="12.75" customHeight="1" x14ac:dyDescent="0.4"/>
    <row r="194" ht="12.75" customHeight="1" x14ac:dyDescent="0.4"/>
    <row r="195" ht="12.75" customHeight="1" x14ac:dyDescent="0.4"/>
    <row r="196" ht="12.75" customHeight="1" x14ac:dyDescent="0.4"/>
    <row r="197" ht="12.75" customHeight="1" x14ac:dyDescent="0.4"/>
    <row r="198" ht="12.75" customHeight="1" x14ac:dyDescent="0.4"/>
    <row r="199" ht="12.75" customHeight="1" x14ac:dyDescent="0.4"/>
    <row r="200" ht="12.75" customHeight="1" x14ac:dyDescent="0.4"/>
    <row r="201" ht="12.75" customHeight="1" x14ac:dyDescent="0.4"/>
    <row r="202" ht="12.75" customHeight="1" x14ac:dyDescent="0.4"/>
    <row r="203" ht="12.75" customHeight="1" x14ac:dyDescent="0.4"/>
    <row r="204" ht="12.75" customHeight="1" x14ac:dyDescent="0.4"/>
    <row r="205" ht="12.75" customHeight="1" x14ac:dyDescent="0.4"/>
    <row r="206" ht="12.75" customHeight="1" x14ac:dyDescent="0.4"/>
    <row r="207" ht="12.75" customHeight="1" x14ac:dyDescent="0.4"/>
    <row r="208" ht="12.75" customHeight="1" x14ac:dyDescent="0.4"/>
    <row r="209" ht="12.75" customHeight="1" x14ac:dyDescent="0.4"/>
    <row r="210" ht="12.75" customHeight="1" x14ac:dyDescent="0.4"/>
    <row r="211" ht="12.75" customHeight="1" x14ac:dyDescent="0.4"/>
    <row r="212" ht="12.75" customHeight="1" x14ac:dyDescent="0.4"/>
    <row r="213" ht="12.75" customHeight="1" x14ac:dyDescent="0.4"/>
    <row r="214" ht="12.75" customHeight="1" x14ac:dyDescent="0.4"/>
    <row r="215" ht="12.75" customHeight="1" x14ac:dyDescent="0.4"/>
    <row r="216" ht="12.75" customHeight="1" x14ac:dyDescent="0.4"/>
    <row r="217" ht="12.75" customHeight="1" x14ac:dyDescent="0.4"/>
    <row r="218" ht="12.75" customHeight="1" x14ac:dyDescent="0.4"/>
    <row r="219" ht="12.75" customHeight="1" x14ac:dyDescent="0.4"/>
    <row r="220" ht="12.75" customHeight="1" x14ac:dyDescent="0.4"/>
    <row r="221" ht="12.75" customHeight="1" x14ac:dyDescent="0.4"/>
    <row r="222" ht="12.75" customHeight="1" x14ac:dyDescent="0.4"/>
    <row r="223" ht="12.75" customHeight="1" x14ac:dyDescent="0.4"/>
    <row r="224" ht="12.75" customHeight="1" x14ac:dyDescent="0.4"/>
    <row r="225" ht="12.75" customHeight="1" x14ac:dyDescent="0.4"/>
    <row r="226" ht="12.75" customHeight="1" x14ac:dyDescent="0.4"/>
    <row r="227" ht="12.75" customHeight="1" x14ac:dyDescent="0.4"/>
    <row r="228" ht="12.75" customHeight="1" x14ac:dyDescent="0.4"/>
    <row r="229" ht="12.75" customHeight="1" x14ac:dyDescent="0.4"/>
    <row r="230" ht="12.75" customHeight="1" x14ac:dyDescent="0.4"/>
    <row r="231" ht="12.75" customHeight="1" x14ac:dyDescent="0.4"/>
    <row r="232" ht="12.75" customHeight="1" x14ac:dyDescent="0.4"/>
    <row r="233" ht="12.75" customHeight="1" x14ac:dyDescent="0.4"/>
    <row r="234" ht="12.75" customHeight="1" x14ac:dyDescent="0.4"/>
    <row r="235" ht="12.75" customHeight="1" x14ac:dyDescent="0.4"/>
    <row r="236" ht="12.75" customHeight="1" x14ac:dyDescent="0.4"/>
    <row r="237" ht="12.75" customHeight="1" x14ac:dyDescent="0.4"/>
    <row r="238" ht="12.75" customHeight="1" x14ac:dyDescent="0.4"/>
    <row r="239" ht="12.75" customHeight="1" x14ac:dyDescent="0.4"/>
    <row r="240" ht="12.75" customHeight="1" x14ac:dyDescent="0.4"/>
    <row r="241" ht="12.75" customHeight="1" x14ac:dyDescent="0.4"/>
    <row r="242" ht="12.75" customHeight="1" x14ac:dyDescent="0.4"/>
    <row r="243" ht="12.75" customHeight="1" x14ac:dyDescent="0.4"/>
    <row r="244" ht="12.75" customHeight="1" x14ac:dyDescent="0.4"/>
    <row r="245" ht="12.75" customHeight="1" x14ac:dyDescent="0.4"/>
    <row r="246" ht="12.75" customHeight="1" x14ac:dyDescent="0.4"/>
    <row r="247" ht="12.75" customHeight="1" x14ac:dyDescent="0.4"/>
    <row r="248" ht="12.75" customHeight="1" x14ac:dyDescent="0.4"/>
    <row r="249" ht="12.75" customHeight="1" x14ac:dyDescent="0.4"/>
    <row r="250" ht="12.75" customHeight="1" x14ac:dyDescent="0.4"/>
    <row r="251" ht="12.75" customHeight="1" x14ac:dyDescent="0.4"/>
    <row r="252" ht="12.75" customHeight="1" x14ac:dyDescent="0.4"/>
    <row r="253" ht="12.75" customHeight="1" x14ac:dyDescent="0.4"/>
    <row r="1048571" ht="12.75" customHeight="1" x14ac:dyDescent="0.4"/>
    <row r="1048572" ht="12.75" customHeight="1" x14ac:dyDescent="0.4"/>
    <row r="1048573" ht="12.75" customHeight="1" x14ac:dyDescent="0.4"/>
  </sheetData>
  <mergeCells count="1">
    <mergeCell ref="E46:F46"/>
  </mergeCells>
  <pageMargins left="0.7" right="0.7" top="0.75" bottom="0.75" header="0.511811023622047" footer="0.511811023622047"/>
  <pageSetup scale="50" orientation="portrait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106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Online2PDF.com</dc:creator>
  <dc:description/>
  <cp:lastModifiedBy>Arief Wicaksono</cp:lastModifiedBy>
  <cp:revision>5</cp:revision>
  <dcterms:created xsi:type="dcterms:W3CDTF">2022-08-01T03:16:00Z</dcterms:created>
  <dcterms:modified xsi:type="dcterms:W3CDTF">2026-07-20T16:15:21Z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56202E76DFA04FCFB9B22BE7D3C59C2D</vt:lpwstr>
  </property>
  <property fmtid="{D5CDD505-2E9C-101B-9397-08002B2CF9AE}" pid="3" name="KSOProductBuildVer">
    <vt:lpwstr>1057-11.2.0.11537</vt:lpwstr>
  </property>
</Properties>
</file>